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ka\Shridevi\23-27Batch\Project Khalandar\"/>
    </mc:Choice>
  </mc:AlternateContent>
  <bookViews>
    <workbookView xWindow="0" yWindow="0" windowWidth="23040" windowHeight="9072"/>
  </bookViews>
  <sheets>
    <sheet name="Yearly" sheetId="1" r:id="rId1"/>
  </sheets>
  <calcPr calcId="162913"/>
</workbook>
</file>

<file path=xl/calcChain.xml><?xml version="1.0" encoding="utf-8"?>
<calcChain xmlns="http://schemas.openxmlformats.org/spreadsheetml/2006/main">
  <c r="H18" i="1" l="1"/>
  <c r="G58" i="1" l="1"/>
  <c r="H58" i="1"/>
  <c r="I58" i="1"/>
  <c r="J58" i="1"/>
  <c r="K58" i="1"/>
  <c r="L58" i="1"/>
  <c r="M58" i="1"/>
  <c r="N58" i="1"/>
  <c r="O58" i="1"/>
  <c r="P58" i="1"/>
  <c r="F58" i="1"/>
  <c r="C58" i="1"/>
  <c r="D58" i="1"/>
  <c r="B58" i="1"/>
  <c r="G39" i="1" l="1"/>
  <c r="H39" i="1"/>
  <c r="I39" i="1"/>
  <c r="J39" i="1"/>
  <c r="K39" i="1"/>
  <c r="L39" i="1"/>
  <c r="M39" i="1"/>
  <c r="N39" i="1"/>
  <c r="O39" i="1"/>
  <c r="P39" i="1"/>
  <c r="F39" i="1"/>
  <c r="C39" i="1"/>
  <c r="D39" i="1"/>
  <c r="B39" i="1"/>
  <c r="O18" i="1"/>
  <c r="P18" i="1"/>
  <c r="Q18" i="1"/>
  <c r="N18" i="1"/>
  <c r="M18" i="1"/>
  <c r="L18" i="1"/>
  <c r="K18" i="1"/>
  <c r="J18" i="1"/>
  <c r="I18" i="1"/>
  <c r="C18" i="1"/>
  <c r="E18" i="1"/>
  <c r="G18" i="1"/>
  <c r="B18" i="1"/>
  <c r="D16" i="1" l="1"/>
  <c r="D17" i="1"/>
  <c r="D15" i="1" l="1"/>
  <c r="F15" i="1" l="1"/>
  <c r="F16" i="1"/>
  <c r="F17" i="1"/>
  <c r="D9" i="1" l="1"/>
  <c r="F9" i="1" s="1"/>
  <c r="D8" i="1"/>
  <c r="F8" i="1" s="1"/>
  <c r="D7" i="1"/>
  <c r="F7" i="1" s="1"/>
  <c r="D6" i="1"/>
  <c r="F6" i="1" s="1"/>
  <c r="D14" i="1" l="1"/>
  <c r="F14" i="1" s="1"/>
  <c r="D13" i="1"/>
  <c r="F13" i="1" s="1"/>
  <c r="D12" i="1"/>
  <c r="F12" i="1" s="1"/>
  <c r="D11" i="1"/>
  <c r="F11" i="1" s="1"/>
  <c r="F10" i="1"/>
  <c r="D10" i="1"/>
  <c r="F18" i="1" l="1"/>
  <c r="D18" i="1"/>
</calcChain>
</file>

<file path=xl/sharedStrings.xml><?xml version="1.0" encoding="utf-8"?>
<sst xmlns="http://schemas.openxmlformats.org/spreadsheetml/2006/main" count="56" uniqueCount="23">
  <si>
    <t>NORM</t>
  </si>
  <si>
    <t>Month</t>
  </si>
  <si>
    <t>Intake well</t>
  </si>
  <si>
    <t>DM Water</t>
  </si>
  <si>
    <t>PM 1-3</t>
  </si>
  <si>
    <t>PM 4</t>
  </si>
  <si>
    <t>PM 1-4</t>
  </si>
  <si>
    <t>PM 5</t>
  </si>
  <si>
    <t>Bagasse</t>
  </si>
  <si>
    <t>RDH</t>
  </si>
  <si>
    <t>SRP</t>
  </si>
  <si>
    <t>Domestic</t>
  </si>
  <si>
    <t>Ponni</t>
  </si>
  <si>
    <t>Cooling tower</t>
  </si>
  <si>
    <t>Others</t>
  </si>
  <si>
    <t>AVERAGE</t>
  </si>
  <si>
    <t>PCC plant</t>
  </si>
  <si>
    <t xml:space="preserve">Water Consumption Department Wise  from April'23- March  '24 </t>
  </si>
  <si>
    <t xml:space="preserve">Water Consumption Department Wise  from April'24- March  '25 </t>
  </si>
  <si>
    <t xml:space="preserve">Domestic </t>
  </si>
  <si>
    <t xml:space="preserve">Sp. Water </t>
  </si>
  <si>
    <t>WPPS</t>
  </si>
  <si>
    <t>Water Consumption Department Wise  from April'25-December'25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</si>
</sst>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5" fontId="1" fillId="0" borderId="1" xfId="0" applyNumberFormat="1" applyFont="1" applyBorder="1"/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7" fontId="0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2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/>
    </xf>
    <xf numFmtId="164" fontId="0" fillId="0" borderId="4" xfId="0" applyNumberFormat="1" applyFont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tabSelected="1" workbookViewId="0">
      <selection activeCell="U26" sqref="U26"/>
    </sheetView>
  </sheetViews>
  <sheetFormatPr defaultRowHeight="14.4" x14ac:dyDescent="0.3"/>
  <cols>
    <col min="2" max="2" width="9.6640625" customWidth="1"/>
    <col min="3" max="3" width="8.88671875" customWidth="1"/>
    <col min="4" max="4" width="8.6640625" customWidth="1"/>
    <col min="5" max="5" width="5.6640625" customWidth="1"/>
    <col min="6" max="6" width="8.6640625" customWidth="1"/>
    <col min="7" max="7" width="8.5546875" customWidth="1"/>
    <col min="8" max="8" width="6.5546875" style="1" customWidth="1"/>
    <col min="9" max="9" width="8.109375" customWidth="1"/>
    <col min="10" max="10" width="7.33203125" customWidth="1"/>
    <col min="11" max="11" width="7.88671875" customWidth="1"/>
    <col min="12" max="13" width="9.6640625" customWidth="1"/>
    <col min="14" max="14" width="8" customWidth="1"/>
    <col min="15" max="15" width="8.5546875" customWidth="1"/>
    <col min="16" max="16" width="7.88671875" customWidth="1"/>
    <col min="17" max="17" width="7.33203125" customWidth="1"/>
  </cols>
  <sheetData>
    <row r="1" spans="1:17" x14ac:dyDescent="0.3">
      <c r="A1" s="37" t="s">
        <v>17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7" x14ac:dyDescent="0.3">
      <c r="A2" s="2"/>
      <c r="B2" s="1"/>
      <c r="C2" s="1"/>
      <c r="D2" s="1"/>
      <c r="E2" s="1"/>
      <c r="F2" s="1"/>
      <c r="G2" s="1"/>
      <c r="I2" s="1"/>
      <c r="J2" s="1"/>
      <c r="K2" s="1"/>
      <c r="L2" s="1"/>
      <c r="M2" s="1"/>
      <c r="N2" s="1"/>
      <c r="O2" s="1"/>
    </row>
    <row r="3" spans="1:17" x14ac:dyDescent="0.3">
      <c r="A3" s="3" t="s">
        <v>0</v>
      </c>
      <c r="B3" s="3">
        <v>27400</v>
      </c>
      <c r="C3" s="3">
        <v>1950</v>
      </c>
      <c r="D3" s="39"/>
      <c r="E3" s="39"/>
      <c r="F3" s="3">
        <v>3000</v>
      </c>
      <c r="G3" s="3">
        <v>1800</v>
      </c>
      <c r="H3" s="3"/>
      <c r="I3" s="3">
        <v>900</v>
      </c>
      <c r="J3" s="3">
        <v>10000</v>
      </c>
      <c r="K3" s="3">
        <v>1450</v>
      </c>
      <c r="L3" s="3">
        <v>6000</v>
      </c>
      <c r="M3" s="3">
        <v>325</v>
      </c>
      <c r="N3" s="3">
        <v>700</v>
      </c>
      <c r="O3" s="3"/>
      <c r="P3" s="11">
        <v>1200</v>
      </c>
      <c r="Q3" s="3">
        <v>40</v>
      </c>
    </row>
    <row r="4" spans="1:17" x14ac:dyDescent="0.3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17" s="36" customFormat="1" ht="28.8" x14ac:dyDescent="0.3">
      <c r="A5" s="32" t="s">
        <v>1</v>
      </c>
      <c r="B5" s="32" t="s">
        <v>2</v>
      </c>
      <c r="C5" s="32" t="s">
        <v>3</v>
      </c>
      <c r="D5" s="32" t="s">
        <v>4</v>
      </c>
      <c r="E5" s="32" t="s">
        <v>5</v>
      </c>
      <c r="F5" s="32" t="s">
        <v>6</v>
      </c>
      <c r="G5" s="32" t="s">
        <v>7</v>
      </c>
      <c r="H5" s="32" t="s">
        <v>21</v>
      </c>
      <c r="I5" s="32" t="s">
        <v>8</v>
      </c>
      <c r="J5" s="32" t="s">
        <v>9</v>
      </c>
      <c r="K5" s="32" t="s">
        <v>10</v>
      </c>
      <c r="L5" s="32" t="s">
        <v>11</v>
      </c>
      <c r="M5" s="32" t="s">
        <v>12</v>
      </c>
      <c r="N5" s="32" t="s">
        <v>13</v>
      </c>
      <c r="O5" s="33" t="s">
        <v>16</v>
      </c>
      <c r="P5" s="33" t="s">
        <v>14</v>
      </c>
      <c r="Q5" s="34" t="s">
        <v>20</v>
      </c>
    </row>
    <row r="6" spans="1:17" x14ac:dyDescent="0.3">
      <c r="A6" s="14">
        <v>45017</v>
      </c>
      <c r="B6" s="4">
        <v>28431</v>
      </c>
      <c r="C6" s="4">
        <v>1876</v>
      </c>
      <c r="D6" s="9">
        <f>912+766+107</f>
        <v>1785</v>
      </c>
      <c r="E6" s="9">
        <v>1021</v>
      </c>
      <c r="F6" s="9">
        <f>SUM(D6+E6)</f>
        <v>2806</v>
      </c>
      <c r="G6" s="9">
        <v>1532</v>
      </c>
      <c r="H6" s="9">
        <v>12</v>
      </c>
      <c r="I6" s="9">
        <v>972</v>
      </c>
      <c r="J6" s="9">
        <v>10256</v>
      </c>
      <c r="K6" s="9">
        <v>1743</v>
      </c>
      <c r="L6" s="9">
        <v>6484</v>
      </c>
      <c r="M6" s="9">
        <v>386</v>
      </c>
      <c r="N6" s="9">
        <v>985</v>
      </c>
      <c r="O6" s="8">
        <v>222</v>
      </c>
      <c r="P6" s="10">
        <v>1156</v>
      </c>
      <c r="Q6" s="17">
        <v>44</v>
      </c>
    </row>
    <row r="7" spans="1:17" x14ac:dyDescent="0.3">
      <c r="A7" s="14">
        <v>45047</v>
      </c>
      <c r="B7" s="10">
        <v>27800</v>
      </c>
      <c r="C7" s="4">
        <v>1888</v>
      </c>
      <c r="D7" s="10">
        <f>1041+712+135</f>
        <v>1888</v>
      </c>
      <c r="E7" s="10">
        <v>887</v>
      </c>
      <c r="F7" s="9">
        <f>SUM(D7+E7)</f>
        <v>2775</v>
      </c>
      <c r="G7" s="10">
        <v>1457</v>
      </c>
      <c r="H7" s="21">
        <v>170</v>
      </c>
      <c r="I7" s="10">
        <v>754</v>
      </c>
      <c r="J7" s="10">
        <v>10397</v>
      </c>
      <c r="K7" s="4">
        <v>1759</v>
      </c>
      <c r="L7" s="10">
        <v>6077</v>
      </c>
      <c r="M7" s="10">
        <v>306</v>
      </c>
      <c r="N7" s="10">
        <v>862</v>
      </c>
      <c r="O7" s="8">
        <v>262</v>
      </c>
      <c r="P7" s="10">
        <v>1094</v>
      </c>
      <c r="Q7" s="17">
        <v>47</v>
      </c>
    </row>
    <row r="8" spans="1:17" x14ac:dyDescent="0.3">
      <c r="A8" s="14">
        <v>45078</v>
      </c>
      <c r="B8" s="10">
        <v>28542</v>
      </c>
      <c r="C8" s="4">
        <v>1921</v>
      </c>
      <c r="D8" s="10">
        <f>1010+612+126</f>
        <v>1748</v>
      </c>
      <c r="E8" s="10">
        <v>859</v>
      </c>
      <c r="F8" s="9">
        <f t="shared" ref="F8:F9" si="0">SUM(D8+E8)</f>
        <v>2607</v>
      </c>
      <c r="G8" s="10">
        <v>1502</v>
      </c>
      <c r="H8" s="21">
        <v>50</v>
      </c>
      <c r="I8" s="10">
        <v>1380</v>
      </c>
      <c r="J8" s="10">
        <v>10310</v>
      </c>
      <c r="K8" s="4">
        <v>1555</v>
      </c>
      <c r="L8" s="10">
        <v>6312</v>
      </c>
      <c r="M8" s="10">
        <v>329</v>
      </c>
      <c r="N8" s="10">
        <v>903</v>
      </c>
      <c r="O8" s="8">
        <v>295</v>
      </c>
      <c r="P8" s="10">
        <v>1380</v>
      </c>
      <c r="Q8" s="17">
        <v>45</v>
      </c>
    </row>
    <row r="9" spans="1:17" x14ac:dyDescent="0.3">
      <c r="A9" s="14">
        <v>45108</v>
      </c>
      <c r="B9" s="10">
        <v>27597</v>
      </c>
      <c r="C9" s="4">
        <v>1911</v>
      </c>
      <c r="D9" s="10">
        <f>879+484+149</f>
        <v>1512</v>
      </c>
      <c r="E9" s="10">
        <v>807</v>
      </c>
      <c r="F9" s="9">
        <f t="shared" si="0"/>
        <v>2319</v>
      </c>
      <c r="G9" s="10">
        <v>2112</v>
      </c>
      <c r="H9" s="21">
        <v>19</v>
      </c>
      <c r="I9" s="10">
        <v>1623</v>
      </c>
      <c r="J9" s="10">
        <v>9242</v>
      </c>
      <c r="K9" s="4">
        <v>1828</v>
      </c>
      <c r="L9" s="10">
        <v>6265</v>
      </c>
      <c r="M9" s="10">
        <v>419</v>
      </c>
      <c r="N9" s="10">
        <v>636</v>
      </c>
      <c r="O9" s="8">
        <v>287</v>
      </c>
      <c r="P9" s="10">
        <v>935</v>
      </c>
      <c r="Q9" s="12">
        <v>46</v>
      </c>
    </row>
    <row r="10" spans="1:17" x14ac:dyDescent="0.3">
      <c r="A10" s="14">
        <v>45139</v>
      </c>
      <c r="B10" s="10">
        <v>28648</v>
      </c>
      <c r="C10" s="4">
        <v>1962</v>
      </c>
      <c r="D10" s="10">
        <f>863+648+138</f>
        <v>1649</v>
      </c>
      <c r="E10" s="10">
        <v>840</v>
      </c>
      <c r="F10" s="9">
        <f>SUM(D10+E10)</f>
        <v>2489</v>
      </c>
      <c r="G10" s="10">
        <v>2239</v>
      </c>
      <c r="H10" s="21">
        <v>53</v>
      </c>
      <c r="I10" s="10">
        <v>1478</v>
      </c>
      <c r="J10" s="4">
        <v>9920</v>
      </c>
      <c r="K10" s="10">
        <v>2121</v>
      </c>
      <c r="L10" s="10">
        <v>6268</v>
      </c>
      <c r="M10" s="10">
        <v>442</v>
      </c>
      <c r="N10" s="10">
        <v>816</v>
      </c>
      <c r="O10" s="8">
        <v>280</v>
      </c>
      <c r="P10" s="12">
        <v>581</v>
      </c>
      <c r="Q10" s="17">
        <v>44</v>
      </c>
    </row>
    <row r="11" spans="1:17" x14ac:dyDescent="0.3">
      <c r="A11" s="14">
        <v>45170</v>
      </c>
      <c r="B11" s="8">
        <v>27561</v>
      </c>
      <c r="C11" s="8">
        <v>1857</v>
      </c>
      <c r="D11" s="8">
        <f>863+576+151</f>
        <v>1590</v>
      </c>
      <c r="E11" s="8">
        <v>966</v>
      </c>
      <c r="F11" s="9">
        <f t="shared" ref="F11:F17" si="1">SUM(D11+E11)</f>
        <v>2556</v>
      </c>
      <c r="G11" s="8">
        <v>1789</v>
      </c>
      <c r="H11" s="8">
        <v>65</v>
      </c>
      <c r="I11" s="8">
        <v>1084</v>
      </c>
      <c r="J11" s="8">
        <v>10582</v>
      </c>
      <c r="K11" s="8">
        <v>1779</v>
      </c>
      <c r="L11" s="8">
        <v>6005</v>
      </c>
      <c r="M11" s="8">
        <v>368</v>
      </c>
      <c r="N11" s="8">
        <v>794</v>
      </c>
      <c r="O11" s="8">
        <v>276</v>
      </c>
      <c r="P11" s="10">
        <v>406</v>
      </c>
      <c r="Q11" s="17">
        <v>43</v>
      </c>
    </row>
    <row r="12" spans="1:17" x14ac:dyDescent="0.3">
      <c r="A12" s="14">
        <v>45200</v>
      </c>
      <c r="B12" s="10">
        <v>27503</v>
      </c>
      <c r="C12" s="10">
        <v>1805</v>
      </c>
      <c r="D12" s="10">
        <f>647+765+127</f>
        <v>1539</v>
      </c>
      <c r="E12" s="10">
        <v>928</v>
      </c>
      <c r="F12" s="9">
        <f t="shared" si="1"/>
        <v>2467</v>
      </c>
      <c r="G12" s="10">
        <v>2024</v>
      </c>
      <c r="H12" s="21">
        <v>175</v>
      </c>
      <c r="I12" s="10">
        <v>960</v>
      </c>
      <c r="J12" s="10">
        <v>10415</v>
      </c>
      <c r="K12" s="10">
        <v>1840</v>
      </c>
      <c r="L12" s="10">
        <v>6013</v>
      </c>
      <c r="M12" s="10">
        <v>364</v>
      </c>
      <c r="N12" s="10">
        <v>719</v>
      </c>
      <c r="O12" s="8">
        <v>255</v>
      </c>
      <c r="P12" s="10">
        <v>466</v>
      </c>
      <c r="Q12" s="19">
        <v>44</v>
      </c>
    </row>
    <row r="13" spans="1:17" x14ac:dyDescent="0.3">
      <c r="A13" s="14">
        <v>45231</v>
      </c>
      <c r="B13" s="10">
        <v>29072</v>
      </c>
      <c r="C13" s="10">
        <v>1972</v>
      </c>
      <c r="D13" s="10">
        <f>819+570+119</f>
        <v>1508</v>
      </c>
      <c r="E13" s="10">
        <v>937</v>
      </c>
      <c r="F13" s="9">
        <f t="shared" si="1"/>
        <v>2445</v>
      </c>
      <c r="G13" s="10">
        <v>2091</v>
      </c>
      <c r="H13" s="21">
        <v>65</v>
      </c>
      <c r="I13" s="10">
        <v>1508</v>
      </c>
      <c r="J13" s="10">
        <v>10447</v>
      </c>
      <c r="K13" s="10">
        <v>2058</v>
      </c>
      <c r="L13" s="10">
        <v>6093</v>
      </c>
      <c r="M13" s="10">
        <v>338</v>
      </c>
      <c r="N13" s="10">
        <v>951</v>
      </c>
      <c r="O13" s="8">
        <v>245</v>
      </c>
      <c r="P13" s="10">
        <v>860</v>
      </c>
      <c r="Q13" s="12">
        <v>44</v>
      </c>
    </row>
    <row r="14" spans="1:17" x14ac:dyDescent="0.3">
      <c r="A14" s="14">
        <v>45261</v>
      </c>
      <c r="B14" s="10">
        <v>27963</v>
      </c>
      <c r="C14" s="10">
        <v>1942</v>
      </c>
      <c r="D14" s="10">
        <f>724+582+117</f>
        <v>1423</v>
      </c>
      <c r="E14" s="10">
        <v>1012</v>
      </c>
      <c r="F14" s="9">
        <f t="shared" si="1"/>
        <v>2435</v>
      </c>
      <c r="G14" s="10">
        <v>1991</v>
      </c>
      <c r="H14" s="21">
        <v>39</v>
      </c>
      <c r="I14" s="10">
        <v>1573</v>
      </c>
      <c r="J14" s="10">
        <v>9871</v>
      </c>
      <c r="K14" s="10">
        <v>2073</v>
      </c>
      <c r="L14" s="10">
        <v>5816</v>
      </c>
      <c r="M14" s="10">
        <v>303</v>
      </c>
      <c r="N14" s="10">
        <v>650</v>
      </c>
      <c r="O14" s="8">
        <v>284</v>
      </c>
      <c r="P14" s="10">
        <v>986</v>
      </c>
      <c r="Q14" s="12">
        <v>44</v>
      </c>
    </row>
    <row r="15" spans="1:17" s="1" customFormat="1" x14ac:dyDescent="0.3">
      <c r="A15" s="14">
        <v>45292</v>
      </c>
      <c r="B15" s="8">
        <v>28070.645161290322</v>
      </c>
      <c r="C15" s="8">
        <v>1871.2258064516129</v>
      </c>
      <c r="D15" s="8">
        <f>866+825+121</f>
        <v>1812</v>
      </c>
      <c r="E15" s="8">
        <v>1081.8387096774193</v>
      </c>
      <c r="F15" s="9">
        <f t="shared" si="1"/>
        <v>2893.8387096774195</v>
      </c>
      <c r="G15" s="8">
        <v>1827.9354838709678</v>
      </c>
      <c r="H15" s="8">
        <v>109</v>
      </c>
      <c r="I15" s="8">
        <v>1287.6129032258063</v>
      </c>
      <c r="J15" s="8">
        <v>9692.032258064517</v>
      </c>
      <c r="K15" s="8">
        <v>2275.1612903225805</v>
      </c>
      <c r="L15" s="8">
        <v>5959.2258064516127</v>
      </c>
      <c r="M15" s="8">
        <v>269.96774193548384</v>
      </c>
      <c r="N15" s="8">
        <v>807.45161290322585</v>
      </c>
      <c r="O15" s="8">
        <v>290.74193548387098</v>
      </c>
      <c r="P15" s="8">
        <v>786.54838709677415</v>
      </c>
      <c r="Q15" s="12">
        <v>42</v>
      </c>
    </row>
    <row r="16" spans="1:17" s="1" customFormat="1" x14ac:dyDescent="0.3">
      <c r="A16" s="14">
        <v>45323</v>
      </c>
      <c r="B16" s="13">
        <v>27394</v>
      </c>
      <c r="C16" s="13">
        <v>1834</v>
      </c>
      <c r="D16" s="13">
        <f>842+597+148</f>
        <v>1587</v>
      </c>
      <c r="E16" s="13">
        <v>991</v>
      </c>
      <c r="F16" s="9">
        <f t="shared" si="1"/>
        <v>2578</v>
      </c>
      <c r="G16" s="13">
        <v>1751</v>
      </c>
      <c r="H16" s="21">
        <v>52</v>
      </c>
      <c r="I16" s="13">
        <v>959</v>
      </c>
      <c r="J16" s="13">
        <v>10129</v>
      </c>
      <c r="K16" s="13">
        <v>2175</v>
      </c>
      <c r="L16" s="13">
        <v>5811</v>
      </c>
      <c r="M16" s="13">
        <v>244</v>
      </c>
      <c r="N16" s="13">
        <v>706</v>
      </c>
      <c r="O16" s="8">
        <v>264</v>
      </c>
      <c r="P16" s="13">
        <v>891</v>
      </c>
      <c r="Q16" s="12">
        <v>41</v>
      </c>
    </row>
    <row r="17" spans="1:17" s="1" customFormat="1" x14ac:dyDescent="0.3">
      <c r="A17" s="14">
        <v>45352</v>
      </c>
      <c r="B17" s="13">
        <v>27480</v>
      </c>
      <c r="C17" s="13">
        <v>1898</v>
      </c>
      <c r="D17" s="13">
        <f>860+606+123</f>
        <v>1589</v>
      </c>
      <c r="E17" s="13">
        <v>1022</v>
      </c>
      <c r="F17" s="9">
        <f t="shared" si="1"/>
        <v>2611</v>
      </c>
      <c r="G17" s="13">
        <v>1760</v>
      </c>
      <c r="H17" s="21">
        <v>153</v>
      </c>
      <c r="I17" s="13">
        <v>1228</v>
      </c>
      <c r="J17" s="13">
        <v>9583</v>
      </c>
      <c r="K17" s="13">
        <v>1887</v>
      </c>
      <c r="L17" s="13">
        <v>6057</v>
      </c>
      <c r="M17" s="13">
        <v>310</v>
      </c>
      <c r="N17" s="13">
        <v>961</v>
      </c>
      <c r="O17" s="8">
        <v>239</v>
      </c>
      <c r="P17" s="13">
        <v>793</v>
      </c>
      <c r="Q17" s="12">
        <v>40</v>
      </c>
    </row>
    <row r="18" spans="1:17" x14ac:dyDescent="0.3">
      <c r="A18" s="6" t="s">
        <v>15</v>
      </c>
      <c r="B18" s="7">
        <f>AVERAGE(B6:B17)</f>
        <v>28005.137096774193</v>
      </c>
      <c r="C18" s="7">
        <f t="shared" ref="C18:H18" si="2">AVERAGE(C6:C17)</f>
        <v>1894.7688172043011</v>
      </c>
      <c r="D18" s="7">
        <f t="shared" si="2"/>
        <v>1635.8333333333333</v>
      </c>
      <c r="E18" s="7">
        <f t="shared" si="2"/>
        <v>945.98655913978484</v>
      </c>
      <c r="F18" s="7">
        <f t="shared" si="2"/>
        <v>2581.8198924731182</v>
      </c>
      <c r="G18" s="7">
        <f t="shared" si="2"/>
        <v>1839.6612903225807</v>
      </c>
      <c r="H18" s="7">
        <f t="shared" si="2"/>
        <v>80.166666666666671</v>
      </c>
      <c r="I18" s="7">
        <f>AVERAGE(I6:I17)</f>
        <v>1233.8844086021506</v>
      </c>
      <c r="J18" s="7">
        <f t="shared" ref="J18" si="3">AVERAGE(J6:J17)</f>
        <v>10070.336021505376</v>
      </c>
      <c r="K18" s="7">
        <f t="shared" ref="K18" si="4">AVERAGE(K6:K17)</f>
        <v>1924.4301075268816</v>
      </c>
      <c r="L18" s="7">
        <f t="shared" ref="L18" si="5">AVERAGE(L6:L17)</f>
        <v>6096.6854838709669</v>
      </c>
      <c r="M18" s="7">
        <f t="shared" ref="M18" si="6">AVERAGE(M6:M17)</f>
        <v>339.91397849462368</v>
      </c>
      <c r="N18" s="7">
        <f t="shared" ref="N18" si="7">AVERAGE(N6:N17)</f>
        <v>815.87096774193549</v>
      </c>
      <c r="O18" s="7">
        <f t="shared" ref="O18" si="8">AVERAGE(O6:O17)</f>
        <v>266.64516129032262</v>
      </c>
      <c r="P18" s="7">
        <f t="shared" ref="P18" si="9">AVERAGE(P6:P17)</f>
        <v>861.21236559139788</v>
      </c>
      <c r="Q18" s="28">
        <f t="shared" ref="Q18" si="10">AVERAGE(Q6:Q17)</f>
        <v>43.666666666666664</v>
      </c>
    </row>
    <row r="21" spans="1:17" x14ac:dyDescent="0.3">
      <c r="Q21" s="18"/>
    </row>
    <row r="22" spans="1:17" x14ac:dyDescent="0.3">
      <c r="A22" s="37" t="s">
        <v>18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1"/>
      <c r="Q22" s="18"/>
    </row>
    <row r="23" spans="1:17" x14ac:dyDescent="0.3">
      <c r="A23" s="2"/>
      <c r="B23" s="1"/>
      <c r="C23" s="1"/>
      <c r="D23" s="1"/>
      <c r="E23" s="1"/>
      <c r="F23" s="1"/>
      <c r="G23" s="1"/>
      <c r="I23" s="1"/>
      <c r="J23" s="1"/>
      <c r="K23" s="1"/>
      <c r="L23" s="1"/>
      <c r="M23" s="1"/>
      <c r="N23" s="1"/>
      <c r="O23" s="1"/>
      <c r="P23" s="1"/>
      <c r="Q23" s="18"/>
    </row>
    <row r="24" spans="1:17" x14ac:dyDescent="0.3">
      <c r="A24" s="3" t="s">
        <v>0</v>
      </c>
      <c r="B24" s="3">
        <v>27400</v>
      </c>
      <c r="C24" s="3">
        <v>1950</v>
      </c>
      <c r="D24" s="3">
        <v>700</v>
      </c>
      <c r="E24" s="3"/>
      <c r="F24" s="3">
        <v>3000</v>
      </c>
      <c r="G24" s="3">
        <v>1800</v>
      </c>
      <c r="H24" s="3">
        <v>75</v>
      </c>
      <c r="I24" s="3">
        <v>900</v>
      </c>
      <c r="J24" s="3">
        <v>10000</v>
      </c>
      <c r="K24" s="3">
        <v>1450</v>
      </c>
      <c r="L24" s="3">
        <v>212</v>
      </c>
      <c r="M24" s="3">
        <v>325</v>
      </c>
      <c r="N24" s="3">
        <v>6000</v>
      </c>
      <c r="O24" s="3">
        <v>1200</v>
      </c>
      <c r="P24" s="3">
        <v>40</v>
      </c>
      <c r="Q24" s="5"/>
    </row>
    <row r="25" spans="1:17" x14ac:dyDescent="0.3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16"/>
      <c r="Q25" s="18"/>
    </row>
    <row r="26" spans="1:17" s="36" customFormat="1" ht="28.8" x14ac:dyDescent="0.3">
      <c r="A26" s="32" t="s">
        <v>1</v>
      </c>
      <c r="B26" s="32" t="s">
        <v>2</v>
      </c>
      <c r="C26" s="32" t="s">
        <v>3</v>
      </c>
      <c r="D26" s="32" t="s">
        <v>13</v>
      </c>
      <c r="E26" s="32"/>
      <c r="F26" s="32" t="s">
        <v>6</v>
      </c>
      <c r="G26" s="32" t="s">
        <v>7</v>
      </c>
      <c r="H26" s="32" t="s">
        <v>21</v>
      </c>
      <c r="I26" s="32" t="s">
        <v>8</v>
      </c>
      <c r="J26" s="32" t="s">
        <v>9</v>
      </c>
      <c r="K26" s="32" t="s">
        <v>10</v>
      </c>
      <c r="L26" s="33" t="s">
        <v>16</v>
      </c>
      <c r="M26" s="32" t="s">
        <v>12</v>
      </c>
      <c r="N26" s="32" t="s">
        <v>19</v>
      </c>
      <c r="O26" s="33" t="s">
        <v>14</v>
      </c>
      <c r="P26" s="34" t="s">
        <v>20</v>
      </c>
      <c r="Q26" s="35"/>
    </row>
    <row r="27" spans="1:17" x14ac:dyDescent="0.3">
      <c r="A27" s="14">
        <v>45383</v>
      </c>
      <c r="B27" s="4">
        <v>27574</v>
      </c>
      <c r="C27" s="4">
        <v>2075</v>
      </c>
      <c r="D27" s="9">
        <v>670</v>
      </c>
      <c r="E27" s="9"/>
      <c r="F27" s="9">
        <v>2548</v>
      </c>
      <c r="G27" s="9">
        <v>1677</v>
      </c>
      <c r="H27" s="9">
        <v>70</v>
      </c>
      <c r="I27" s="9">
        <v>1212</v>
      </c>
      <c r="J27" s="9">
        <v>9825</v>
      </c>
      <c r="K27" s="9">
        <v>2059</v>
      </c>
      <c r="L27" s="9">
        <v>246</v>
      </c>
      <c r="M27" s="9">
        <v>362</v>
      </c>
      <c r="N27" s="9">
        <v>5959</v>
      </c>
      <c r="O27" s="8">
        <v>870</v>
      </c>
      <c r="P27" s="22">
        <v>42</v>
      </c>
      <c r="Q27" s="20"/>
    </row>
    <row r="28" spans="1:17" x14ac:dyDescent="0.3">
      <c r="A28" s="14">
        <v>45413</v>
      </c>
      <c r="B28" s="15">
        <v>26450</v>
      </c>
      <c r="C28" s="4">
        <v>1961</v>
      </c>
      <c r="D28" s="15">
        <v>587</v>
      </c>
      <c r="E28" s="15"/>
      <c r="F28" s="9">
        <v>2289</v>
      </c>
      <c r="G28" s="15">
        <v>1611</v>
      </c>
      <c r="H28" s="21">
        <v>28</v>
      </c>
      <c r="I28" s="15">
        <v>1002</v>
      </c>
      <c r="J28" s="15">
        <v>9737</v>
      </c>
      <c r="K28" s="4">
        <v>2229</v>
      </c>
      <c r="L28" s="15">
        <v>252</v>
      </c>
      <c r="M28" s="15">
        <v>254</v>
      </c>
      <c r="N28" s="15">
        <v>5951</v>
      </c>
      <c r="O28" s="8">
        <v>550</v>
      </c>
      <c r="P28" s="22">
        <v>44</v>
      </c>
      <c r="Q28" s="5"/>
    </row>
    <row r="29" spans="1:17" x14ac:dyDescent="0.3">
      <c r="A29" s="14">
        <v>45444</v>
      </c>
      <c r="B29" s="15">
        <v>26794</v>
      </c>
      <c r="C29" s="4">
        <v>1890</v>
      </c>
      <c r="D29" s="15">
        <v>990</v>
      </c>
      <c r="E29" s="15"/>
      <c r="F29" s="9">
        <v>2429</v>
      </c>
      <c r="G29" s="15">
        <v>1605</v>
      </c>
      <c r="H29" s="21">
        <v>89</v>
      </c>
      <c r="I29" s="15">
        <v>1417</v>
      </c>
      <c r="J29" s="15">
        <v>9758</v>
      </c>
      <c r="K29" s="4">
        <v>1943</v>
      </c>
      <c r="L29" s="15">
        <v>266</v>
      </c>
      <c r="M29" s="15">
        <v>194</v>
      </c>
      <c r="N29" s="15">
        <v>5926</v>
      </c>
      <c r="O29" s="8">
        <v>289</v>
      </c>
      <c r="P29" s="22">
        <v>40</v>
      </c>
      <c r="Q29" s="5"/>
    </row>
    <row r="30" spans="1:17" x14ac:dyDescent="0.3">
      <c r="A30" s="14">
        <v>45474</v>
      </c>
      <c r="B30" s="15">
        <v>27585</v>
      </c>
      <c r="C30" s="4">
        <v>1675</v>
      </c>
      <c r="D30" s="15">
        <v>1034</v>
      </c>
      <c r="E30" s="15"/>
      <c r="F30" s="9">
        <v>2513</v>
      </c>
      <c r="G30" s="15">
        <v>1706</v>
      </c>
      <c r="H30" s="21">
        <v>382</v>
      </c>
      <c r="I30" s="15">
        <v>793</v>
      </c>
      <c r="J30" s="15">
        <v>9901</v>
      </c>
      <c r="K30" s="4">
        <v>1946</v>
      </c>
      <c r="L30" s="15">
        <v>244</v>
      </c>
      <c r="M30" s="15">
        <v>411</v>
      </c>
      <c r="N30" s="15">
        <v>6273</v>
      </c>
      <c r="O30" s="8">
        <v>737</v>
      </c>
      <c r="P30" s="22">
        <v>41</v>
      </c>
      <c r="Q30" s="5"/>
    </row>
    <row r="31" spans="1:17" x14ac:dyDescent="0.3">
      <c r="A31" s="14">
        <v>45505</v>
      </c>
      <c r="B31" s="8">
        <v>27440</v>
      </c>
      <c r="C31" s="9">
        <v>1818.6451612903227</v>
      </c>
      <c r="D31" s="8">
        <v>823.67741935483866</v>
      </c>
      <c r="E31" s="8"/>
      <c r="F31" s="9">
        <v>2424.8064516129034</v>
      </c>
      <c r="G31" s="8">
        <v>1662.1290322580646</v>
      </c>
      <c r="H31" s="8">
        <v>42</v>
      </c>
      <c r="I31" s="8">
        <v>1347.0645161290322</v>
      </c>
      <c r="J31" s="9">
        <v>10044.451612903225</v>
      </c>
      <c r="K31" s="8">
        <v>1952.4516129032259</v>
      </c>
      <c r="L31" s="8">
        <v>273.19354838709677</v>
      </c>
      <c r="M31" s="8">
        <v>438.74193548387098</v>
      </c>
      <c r="N31" s="8">
        <v>6141.4516129032254</v>
      </c>
      <c r="O31" s="8">
        <v>471.61290322580646</v>
      </c>
      <c r="P31" s="22">
        <v>41</v>
      </c>
      <c r="Q31" s="5"/>
    </row>
    <row r="32" spans="1:17" x14ac:dyDescent="0.3">
      <c r="A32" s="14">
        <v>45536</v>
      </c>
      <c r="B32" s="8">
        <v>26529</v>
      </c>
      <c r="C32" s="8">
        <v>1836.1333333333334</v>
      </c>
      <c r="D32" s="8">
        <v>876.76666666666665</v>
      </c>
      <c r="E32" s="8"/>
      <c r="F32" s="9">
        <v>2365.5666666666666</v>
      </c>
      <c r="G32" s="8">
        <v>1718.1666666666667</v>
      </c>
      <c r="H32" s="8">
        <v>92</v>
      </c>
      <c r="I32" s="8">
        <v>1017.5</v>
      </c>
      <c r="J32" s="8">
        <v>9496.6</v>
      </c>
      <c r="K32" s="8">
        <v>2047.0333333333333</v>
      </c>
      <c r="L32" s="8">
        <v>277.06666666666666</v>
      </c>
      <c r="M32" s="8">
        <v>406.83333333333331</v>
      </c>
      <c r="N32" s="8">
        <v>6032.7666666666664</v>
      </c>
      <c r="O32" s="8">
        <v>362.2</v>
      </c>
      <c r="P32" s="22">
        <v>38</v>
      </c>
      <c r="Q32" s="5"/>
    </row>
    <row r="33" spans="1:16" x14ac:dyDescent="0.3">
      <c r="A33" s="14">
        <v>45566</v>
      </c>
      <c r="B33" s="8">
        <v>25311.935483870966</v>
      </c>
      <c r="C33" s="8">
        <v>1786.6451612903227</v>
      </c>
      <c r="D33" s="8">
        <v>795.45161290322585</v>
      </c>
      <c r="E33" s="15"/>
      <c r="F33" s="9">
        <v>2428.2903225806454</v>
      </c>
      <c r="G33" s="8">
        <v>1744.3870967741937</v>
      </c>
      <c r="H33" s="8">
        <v>338.29032258064518</v>
      </c>
      <c r="I33" s="8">
        <v>1388.6774193548388</v>
      </c>
      <c r="J33" s="8">
        <v>7750.0645161290322</v>
      </c>
      <c r="K33" s="15">
        <v>2000</v>
      </c>
      <c r="L33" s="8">
        <v>242.61870967741936</v>
      </c>
      <c r="M33" s="8">
        <v>364.12903225806451</v>
      </c>
      <c r="N33" s="8">
        <v>6021.322580645161</v>
      </c>
      <c r="O33" s="8">
        <v>452.05870967741936</v>
      </c>
      <c r="P33" s="17">
        <v>40.200000000000003</v>
      </c>
    </row>
    <row r="34" spans="1:16" x14ac:dyDescent="0.3">
      <c r="A34" s="14">
        <v>45597</v>
      </c>
      <c r="B34" s="8">
        <v>25325.166666666668</v>
      </c>
      <c r="C34" s="8">
        <v>1707.7</v>
      </c>
      <c r="D34" s="8">
        <v>730.33333333333337</v>
      </c>
      <c r="E34" s="15"/>
      <c r="F34" s="9">
        <v>2544.6333333333332</v>
      </c>
      <c r="G34" s="8">
        <v>1787.9666666666667</v>
      </c>
      <c r="H34" s="8">
        <v>141.66666666666666</v>
      </c>
      <c r="I34" s="8">
        <v>952.93333333333328</v>
      </c>
      <c r="J34" s="8">
        <v>8724.6666666666661</v>
      </c>
      <c r="K34" s="8">
        <v>1750.6</v>
      </c>
      <c r="L34" s="8">
        <v>260.5</v>
      </c>
      <c r="M34" s="8">
        <v>267.53333333333336</v>
      </c>
      <c r="N34" s="8">
        <v>6043.2333333333336</v>
      </c>
      <c r="O34" s="8">
        <v>413.4</v>
      </c>
      <c r="P34" s="22">
        <v>40.857142857142854</v>
      </c>
    </row>
    <row r="35" spans="1:16" x14ac:dyDescent="0.3">
      <c r="A35" s="14">
        <v>45627</v>
      </c>
      <c r="B35" s="8">
        <v>25588.548387096773</v>
      </c>
      <c r="C35" s="8">
        <v>1658.6129032258063</v>
      </c>
      <c r="D35" s="8">
        <v>841.19354838709683</v>
      </c>
      <c r="E35" s="15"/>
      <c r="F35" s="9">
        <v>2330.6129032258063</v>
      </c>
      <c r="G35" s="8">
        <v>1647.4516129032259</v>
      </c>
      <c r="H35" s="8">
        <v>153.67741935483872</v>
      </c>
      <c r="I35" s="8">
        <v>1021.483870967742</v>
      </c>
      <c r="J35" s="8">
        <v>8950.8064516129034</v>
      </c>
      <c r="K35" s="8">
        <v>1685.7741935483871</v>
      </c>
      <c r="L35" s="8">
        <v>235.09677419354838</v>
      </c>
      <c r="M35" s="8">
        <v>300.80645161290323</v>
      </c>
      <c r="N35" s="8">
        <v>6186.5806451612907</v>
      </c>
      <c r="O35" s="8">
        <v>576.45161290322585</v>
      </c>
      <c r="P35" s="22">
        <v>42.451612903225808</v>
      </c>
    </row>
    <row r="36" spans="1:16" x14ac:dyDescent="0.3">
      <c r="A36" s="14">
        <v>45658</v>
      </c>
      <c r="B36" s="8">
        <v>26655.483870967742</v>
      </c>
      <c r="C36" s="8">
        <v>1769.9032258064517</v>
      </c>
      <c r="D36" s="15">
        <v>927</v>
      </c>
      <c r="E36" s="15"/>
      <c r="F36" s="9">
        <v>2363.516129032258</v>
      </c>
      <c r="G36" s="8">
        <v>1811.8709677419354</v>
      </c>
      <c r="H36" s="8">
        <v>182.90322580645162</v>
      </c>
      <c r="I36" s="8">
        <v>886.58064516129036</v>
      </c>
      <c r="J36" s="15">
        <v>9591</v>
      </c>
      <c r="K36" s="8">
        <v>1909.6129032258063</v>
      </c>
      <c r="L36" s="8">
        <v>264.35483870967744</v>
      </c>
      <c r="M36" s="8">
        <v>319.32258064516128</v>
      </c>
      <c r="N36" s="8">
        <v>6118.0967741935483</v>
      </c>
      <c r="O36" s="8">
        <v>511.80645161290323</v>
      </c>
      <c r="P36" s="22">
        <v>39.096774193548384</v>
      </c>
    </row>
    <row r="37" spans="1:16" x14ac:dyDescent="0.3">
      <c r="A37" s="14">
        <v>45689</v>
      </c>
      <c r="B37" s="8">
        <v>26988.571428571428</v>
      </c>
      <c r="C37" s="8">
        <v>1817.8928571428571</v>
      </c>
      <c r="D37" s="8">
        <v>1091.5</v>
      </c>
      <c r="E37" s="15"/>
      <c r="F37" s="24">
        <v>2348.0714285714284</v>
      </c>
      <c r="G37" s="24">
        <v>1796.6071428571429</v>
      </c>
      <c r="H37" s="24">
        <v>52.892857142857146</v>
      </c>
      <c r="I37" s="24">
        <v>1055</v>
      </c>
      <c r="J37" s="15">
        <v>9363</v>
      </c>
      <c r="K37" s="24">
        <v>2034.1071428571429</v>
      </c>
      <c r="L37" s="24">
        <v>237.17857142857142</v>
      </c>
      <c r="M37" s="24">
        <v>299.25</v>
      </c>
      <c r="N37" s="24">
        <v>6202.8928571428569</v>
      </c>
      <c r="O37" s="25">
        <v>690.64285714285711</v>
      </c>
      <c r="P37" s="26">
        <v>39.428571428571431</v>
      </c>
    </row>
    <row r="38" spans="1:16" x14ac:dyDescent="0.3">
      <c r="A38" s="14">
        <v>45717</v>
      </c>
      <c r="B38" s="24">
        <v>27571.935483870966</v>
      </c>
      <c r="C38" s="24">
        <v>1876.3870967741937</v>
      </c>
      <c r="D38" s="24">
        <v>1012.3870967741935</v>
      </c>
      <c r="E38" s="15"/>
      <c r="F38" s="24">
        <v>2674.7741935483873</v>
      </c>
      <c r="G38" s="24">
        <v>1756.1612903225807</v>
      </c>
      <c r="H38" s="24">
        <v>221.03571428571428</v>
      </c>
      <c r="I38" s="24">
        <v>1104.5357142857142</v>
      </c>
      <c r="J38" s="15">
        <v>9706</v>
      </c>
      <c r="K38" s="24">
        <v>2079.3548387096776</v>
      </c>
      <c r="L38" s="24">
        <v>267.35483870967744</v>
      </c>
      <c r="M38" s="24">
        <v>291.41935483870969</v>
      </c>
      <c r="N38" s="24">
        <v>6140.6129032258068</v>
      </c>
      <c r="O38" s="24">
        <v>568.21428571428567</v>
      </c>
      <c r="P38" s="27">
        <v>40.838709677419352</v>
      </c>
    </row>
    <row r="39" spans="1:16" x14ac:dyDescent="0.3">
      <c r="A39" s="6" t="s">
        <v>15</v>
      </c>
      <c r="B39" s="7">
        <f>AVERAGE(B27:B38)</f>
        <v>26651.136776753712</v>
      </c>
      <c r="C39" s="7">
        <f t="shared" ref="C39:F39" si="11">AVERAGE(C27:C38)</f>
        <v>1822.7433115719405</v>
      </c>
      <c r="D39" s="7">
        <f t="shared" si="11"/>
        <v>864.94247311827951</v>
      </c>
      <c r="E39" s="7"/>
      <c r="F39" s="7">
        <f t="shared" si="11"/>
        <v>2438.2726190476192</v>
      </c>
      <c r="G39" s="7">
        <f t="shared" ref="G39" si="12">AVERAGE(G27:G38)</f>
        <v>1710.3117063492061</v>
      </c>
      <c r="H39" s="7">
        <f t="shared" ref="H39" si="13">AVERAGE(H27:H38)</f>
        <v>149.45551715309782</v>
      </c>
      <c r="I39" s="7">
        <f t="shared" ref="I39" si="14">AVERAGE(I27:I38)</f>
        <v>1099.8146249359959</v>
      </c>
      <c r="J39" s="7">
        <f t="shared" ref="J39" si="15">AVERAGE(J27:J38)</f>
        <v>9403.9657706093203</v>
      </c>
      <c r="K39" s="7">
        <f t="shared" ref="K39" si="16">AVERAGE(K27:K38)</f>
        <v>1969.6611687147977</v>
      </c>
      <c r="L39" s="7">
        <f t="shared" ref="L39" si="17">AVERAGE(L27:L38)</f>
        <v>255.44699564772148</v>
      </c>
      <c r="M39" s="7">
        <f t="shared" ref="M39" si="18">AVERAGE(M27:M38)</f>
        <v>325.75300179211473</v>
      </c>
      <c r="N39" s="7">
        <f t="shared" ref="N39" si="19">AVERAGE(N27:N38)</f>
        <v>6082.9964477726562</v>
      </c>
      <c r="O39" s="7">
        <f t="shared" ref="O39" si="20">AVERAGE(O27:O38)</f>
        <v>541.03223502304138</v>
      </c>
      <c r="P39" s="7">
        <f t="shared" ref="P39" si="21">AVERAGE(P27:P38)</f>
        <v>40.739400921658977</v>
      </c>
    </row>
    <row r="41" spans="1:16" ht="12" customHeight="1" x14ac:dyDescent="0.3">
      <c r="A41" s="37" t="s">
        <v>22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1"/>
    </row>
    <row r="42" spans="1:16" x14ac:dyDescent="0.3">
      <c r="A42" s="2"/>
      <c r="B42" s="1"/>
      <c r="C42" s="1"/>
      <c r="D42" s="1"/>
      <c r="E42" s="1"/>
      <c r="F42" s="1"/>
      <c r="G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3" t="s">
        <v>0</v>
      </c>
      <c r="B43" s="3">
        <v>25154</v>
      </c>
      <c r="C43" s="3">
        <v>1629</v>
      </c>
      <c r="D43" s="3">
        <v>1000</v>
      </c>
      <c r="E43" s="3"/>
      <c r="F43" s="3">
        <v>2345</v>
      </c>
      <c r="G43" s="3">
        <v>1505</v>
      </c>
      <c r="H43" s="3">
        <v>61</v>
      </c>
      <c r="I43" s="3">
        <v>984</v>
      </c>
      <c r="J43" s="3">
        <v>8891</v>
      </c>
      <c r="K43" s="3">
        <v>1411</v>
      </c>
      <c r="L43" s="3">
        <v>212</v>
      </c>
      <c r="M43" s="3">
        <v>325</v>
      </c>
      <c r="N43" s="3">
        <v>6000</v>
      </c>
      <c r="O43" s="3">
        <v>750</v>
      </c>
      <c r="P43" s="3">
        <v>38</v>
      </c>
    </row>
    <row r="44" spans="1:16" x14ac:dyDescent="0.3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16"/>
    </row>
    <row r="45" spans="1:16" ht="28.8" x14ac:dyDescent="0.3">
      <c r="A45" s="32" t="s">
        <v>1</v>
      </c>
      <c r="B45" s="32" t="s">
        <v>2</v>
      </c>
      <c r="C45" s="32" t="s">
        <v>3</v>
      </c>
      <c r="D45" s="32" t="s">
        <v>13</v>
      </c>
      <c r="E45" s="32"/>
      <c r="F45" s="32" t="s">
        <v>6</v>
      </c>
      <c r="G45" s="32" t="s">
        <v>7</v>
      </c>
      <c r="H45" s="32" t="s">
        <v>21</v>
      </c>
      <c r="I45" s="32" t="s">
        <v>8</v>
      </c>
      <c r="J45" s="32" t="s">
        <v>9</v>
      </c>
      <c r="K45" s="32" t="s">
        <v>10</v>
      </c>
      <c r="L45" s="33" t="s">
        <v>16</v>
      </c>
      <c r="M45" s="32" t="s">
        <v>12</v>
      </c>
      <c r="N45" s="32" t="s">
        <v>19</v>
      </c>
      <c r="O45" s="33" t="s">
        <v>14</v>
      </c>
      <c r="P45" s="34" t="s">
        <v>20</v>
      </c>
    </row>
    <row r="46" spans="1:16" x14ac:dyDescent="0.3">
      <c r="A46" s="14">
        <v>45748</v>
      </c>
      <c r="B46" s="29">
        <v>27197.666666666668</v>
      </c>
      <c r="C46" s="29">
        <v>1923.9</v>
      </c>
      <c r="D46" s="29">
        <v>823.23333333333335</v>
      </c>
      <c r="E46" s="9"/>
      <c r="F46" s="29">
        <v>2312.3333333333335</v>
      </c>
      <c r="G46" s="30">
        <v>1819.4333333333334</v>
      </c>
      <c r="H46" s="29">
        <v>368.25</v>
      </c>
      <c r="I46" s="30">
        <v>1107.4285714285713</v>
      </c>
      <c r="J46" s="9">
        <v>9560</v>
      </c>
      <c r="K46" s="30">
        <v>2107.7666666666669</v>
      </c>
      <c r="L46" s="29">
        <v>281.26666666666665</v>
      </c>
      <c r="M46" s="30">
        <v>213</v>
      </c>
      <c r="N46" s="30">
        <v>6066.9</v>
      </c>
      <c r="O46" s="30">
        <v>624.89285714285711</v>
      </c>
      <c r="P46" s="31">
        <v>40.206896551724135</v>
      </c>
    </row>
    <row r="47" spans="1:16" x14ac:dyDescent="0.3">
      <c r="A47" s="14">
        <v>45778</v>
      </c>
      <c r="B47" s="29">
        <v>26735.967741935485</v>
      </c>
      <c r="C47" s="29">
        <v>1895.0645161290322</v>
      </c>
      <c r="D47" s="29">
        <v>915.90322580645159</v>
      </c>
      <c r="E47" s="21"/>
      <c r="F47" s="29">
        <v>2564.9677419354839</v>
      </c>
      <c r="G47" s="30">
        <v>1811.6451612903227</v>
      </c>
      <c r="H47" s="29">
        <v>438.79310344827587</v>
      </c>
      <c r="I47" s="30">
        <v>923.34482758620686</v>
      </c>
      <c r="J47" s="21">
        <v>9173</v>
      </c>
      <c r="K47" s="30">
        <v>2104.2903225806454</v>
      </c>
      <c r="L47" s="29">
        <v>275</v>
      </c>
      <c r="M47" s="30">
        <v>182.67741935483872</v>
      </c>
      <c r="N47" s="30">
        <v>5998.8387096774195</v>
      </c>
      <c r="O47" s="30">
        <v>461.75862068965517</v>
      </c>
      <c r="P47" s="31">
        <v>39.966666666666669</v>
      </c>
    </row>
    <row r="48" spans="1:16" x14ac:dyDescent="0.3">
      <c r="A48" s="14">
        <v>45809</v>
      </c>
      <c r="B48" s="29">
        <v>27909.833333333332</v>
      </c>
      <c r="C48" s="29">
        <v>1926.1</v>
      </c>
      <c r="D48" s="29">
        <v>899.56666666666672</v>
      </c>
      <c r="E48" s="21"/>
      <c r="F48" s="29">
        <v>2667</v>
      </c>
      <c r="G48" s="30">
        <v>1799.5333333333333</v>
      </c>
      <c r="H48" s="29">
        <v>215.32142857142858</v>
      </c>
      <c r="I48" s="30">
        <v>871.82142857142856</v>
      </c>
      <c r="J48" s="21">
        <v>10189</v>
      </c>
      <c r="K48" s="30">
        <v>2163.5</v>
      </c>
      <c r="L48" s="29">
        <v>244.33333333333334</v>
      </c>
      <c r="M48" s="30">
        <v>273.89999999999998</v>
      </c>
      <c r="N48" s="30">
        <v>6109.5666666666666</v>
      </c>
      <c r="O48" s="30">
        <v>522.96428571428567</v>
      </c>
      <c r="P48" s="31">
        <v>44.8</v>
      </c>
    </row>
    <row r="49" spans="1:16" x14ac:dyDescent="0.3">
      <c r="A49" s="14">
        <v>45839</v>
      </c>
      <c r="B49" s="8">
        <v>28270.806451612902</v>
      </c>
      <c r="C49" s="9">
        <v>1918.6774193548388</v>
      </c>
      <c r="D49" s="8">
        <v>702.80645161290317</v>
      </c>
      <c r="E49" s="21"/>
      <c r="F49" s="9">
        <v>2708.0967741935483</v>
      </c>
      <c r="G49" s="8">
        <v>1925.258064516129</v>
      </c>
      <c r="H49" s="8">
        <v>52.29032258064516</v>
      </c>
      <c r="I49" s="8">
        <v>1168.8064516129032</v>
      </c>
      <c r="J49" s="21">
        <v>9268</v>
      </c>
      <c r="K49" s="9">
        <v>3177.7419354838707</v>
      </c>
      <c r="L49" s="8">
        <v>273.93548387096774</v>
      </c>
      <c r="M49" s="8">
        <v>376.48387096774195</v>
      </c>
      <c r="N49" s="8">
        <v>6112.0645161290322</v>
      </c>
      <c r="O49" s="8">
        <v>586.32258064516134</v>
      </c>
      <c r="P49" s="22">
        <v>41.6</v>
      </c>
    </row>
    <row r="50" spans="1:16" x14ac:dyDescent="0.3">
      <c r="A50" s="14">
        <v>45870</v>
      </c>
      <c r="B50" s="9">
        <v>27396</v>
      </c>
      <c r="C50" s="9">
        <v>1887</v>
      </c>
      <c r="D50" s="9">
        <v>828</v>
      </c>
      <c r="E50" s="24"/>
      <c r="F50" s="9">
        <v>2625</v>
      </c>
      <c r="G50" s="24">
        <v>1758</v>
      </c>
      <c r="H50" s="8">
        <v>183</v>
      </c>
      <c r="I50" s="8">
        <v>1451</v>
      </c>
      <c r="J50" s="9">
        <v>9094</v>
      </c>
      <c r="K50" s="8">
        <v>2783</v>
      </c>
      <c r="L50" s="8">
        <v>243</v>
      </c>
      <c r="M50" s="8">
        <v>295</v>
      </c>
      <c r="N50" s="8">
        <v>5900</v>
      </c>
      <c r="O50" s="8">
        <v>350</v>
      </c>
      <c r="P50" s="22">
        <v>40</v>
      </c>
    </row>
    <row r="51" spans="1:16" x14ac:dyDescent="0.3">
      <c r="A51" s="14">
        <v>45901</v>
      </c>
      <c r="B51" s="8">
        <v>28049</v>
      </c>
      <c r="C51" s="8">
        <v>1968</v>
      </c>
      <c r="D51" s="8">
        <v>778</v>
      </c>
      <c r="E51" s="8"/>
      <c r="F51" s="9">
        <v>2882</v>
      </c>
      <c r="G51" s="8">
        <v>1751</v>
      </c>
      <c r="H51" s="8">
        <v>170</v>
      </c>
      <c r="I51" s="8">
        <v>1806</v>
      </c>
      <c r="J51" s="8">
        <v>9215</v>
      </c>
      <c r="K51" s="8">
        <v>2986</v>
      </c>
      <c r="L51" s="8">
        <v>235</v>
      </c>
      <c r="M51" s="8">
        <v>256</v>
      </c>
      <c r="N51" s="8">
        <v>5687</v>
      </c>
      <c r="O51" s="8">
        <v>318</v>
      </c>
      <c r="P51" s="22">
        <v>42</v>
      </c>
    </row>
    <row r="52" spans="1:16" x14ac:dyDescent="0.3">
      <c r="A52" s="14">
        <v>45931</v>
      </c>
      <c r="B52" s="8">
        <v>29959</v>
      </c>
      <c r="C52" s="8">
        <v>2035</v>
      </c>
      <c r="D52" s="8">
        <v>782</v>
      </c>
      <c r="E52" s="21"/>
      <c r="F52" s="9">
        <v>2744</v>
      </c>
      <c r="G52" s="8">
        <v>1855</v>
      </c>
      <c r="H52" s="8">
        <v>180</v>
      </c>
      <c r="I52" s="8">
        <v>2308</v>
      </c>
      <c r="J52" s="8">
        <v>10039</v>
      </c>
      <c r="K52" s="21">
        <v>3229</v>
      </c>
      <c r="L52" s="8">
        <v>241</v>
      </c>
      <c r="M52" s="8">
        <v>193</v>
      </c>
      <c r="N52" s="8">
        <v>5948</v>
      </c>
      <c r="O52" s="8">
        <v>406</v>
      </c>
      <c r="P52" s="21">
        <v>44.5</v>
      </c>
    </row>
    <row r="53" spans="1:16" x14ac:dyDescent="0.3">
      <c r="A53" s="14">
        <v>45962</v>
      </c>
      <c r="B53" s="8">
        <v>29287</v>
      </c>
      <c r="C53" s="8">
        <v>2017</v>
      </c>
      <c r="D53" s="8">
        <v>680</v>
      </c>
      <c r="E53" s="21"/>
      <c r="F53" s="9">
        <v>2834</v>
      </c>
      <c r="G53" s="8">
        <v>1907</v>
      </c>
      <c r="H53" s="8">
        <v>326</v>
      </c>
      <c r="I53" s="8">
        <v>1801</v>
      </c>
      <c r="J53" s="8">
        <v>10335</v>
      </c>
      <c r="K53" s="8">
        <v>2425</v>
      </c>
      <c r="L53" s="8">
        <v>250</v>
      </c>
      <c r="M53" s="8">
        <v>395</v>
      </c>
      <c r="N53" s="8">
        <v>5955</v>
      </c>
      <c r="O53" s="8">
        <v>362</v>
      </c>
      <c r="P53" s="22">
        <v>43.5</v>
      </c>
    </row>
    <row r="54" spans="1:16" x14ac:dyDescent="0.3">
      <c r="A54" s="14">
        <v>45992</v>
      </c>
      <c r="B54" s="8">
        <v>28838</v>
      </c>
      <c r="C54" s="8">
        <v>2058</v>
      </c>
      <c r="D54" s="8">
        <v>727</v>
      </c>
      <c r="E54" s="21"/>
      <c r="F54" s="9">
        <v>2800</v>
      </c>
      <c r="G54" s="8">
        <v>2097</v>
      </c>
      <c r="H54" s="8">
        <v>338</v>
      </c>
      <c r="I54" s="8">
        <v>1727</v>
      </c>
      <c r="J54" s="8">
        <v>9849</v>
      </c>
      <c r="K54" s="8">
        <v>2957</v>
      </c>
      <c r="L54" s="8">
        <v>292</v>
      </c>
      <c r="M54" s="8">
        <v>306</v>
      </c>
      <c r="N54" s="8">
        <v>5397</v>
      </c>
      <c r="O54" s="8">
        <v>288</v>
      </c>
      <c r="P54" s="22">
        <v>44.6</v>
      </c>
    </row>
    <row r="55" spans="1:16" x14ac:dyDescent="0.3">
      <c r="A55" s="14">
        <v>46023</v>
      </c>
      <c r="B55" s="8"/>
      <c r="C55" s="8"/>
      <c r="D55" s="21"/>
      <c r="E55" s="21"/>
      <c r="F55" s="9"/>
      <c r="G55" s="8"/>
      <c r="H55" s="8"/>
      <c r="I55" s="8"/>
      <c r="J55" s="21"/>
      <c r="K55" s="8"/>
      <c r="L55" s="8"/>
      <c r="M55" s="8"/>
      <c r="N55" s="8"/>
      <c r="O55" s="8"/>
      <c r="P55" s="22"/>
    </row>
    <row r="56" spans="1:16" x14ac:dyDescent="0.3">
      <c r="A56" s="14">
        <v>46054</v>
      </c>
      <c r="B56" s="8"/>
      <c r="C56" s="8"/>
      <c r="D56" s="8"/>
      <c r="E56" s="21"/>
      <c r="F56" s="24"/>
      <c r="G56" s="24"/>
      <c r="H56" s="24"/>
      <c r="I56" s="24"/>
      <c r="J56" s="21"/>
      <c r="K56" s="24"/>
      <c r="L56" s="24"/>
      <c r="M56" s="24"/>
      <c r="N56" s="24"/>
      <c r="O56" s="25"/>
      <c r="P56" s="26"/>
    </row>
    <row r="57" spans="1:16" x14ac:dyDescent="0.3">
      <c r="A57" s="14">
        <v>46082</v>
      </c>
      <c r="B57" s="24"/>
      <c r="C57" s="24"/>
      <c r="D57" s="24"/>
      <c r="E57" s="21"/>
      <c r="F57" s="24"/>
      <c r="G57" s="24"/>
      <c r="H57" s="24"/>
      <c r="I57" s="24"/>
      <c r="J57" s="21"/>
      <c r="K57" s="24"/>
      <c r="L57" s="24"/>
      <c r="M57" s="24"/>
      <c r="N57" s="24"/>
      <c r="O57" s="24"/>
      <c r="P57" s="27"/>
    </row>
    <row r="58" spans="1:16" x14ac:dyDescent="0.3">
      <c r="A58" s="6" t="s">
        <v>15</v>
      </c>
      <c r="B58" s="7">
        <f>AVERAGE(B46:B57)</f>
        <v>28182.586021505376</v>
      </c>
      <c r="C58" s="7">
        <f t="shared" ref="C58:F58" si="22">AVERAGE(C46:C57)</f>
        <v>1958.7491039426523</v>
      </c>
      <c r="D58" s="7">
        <f t="shared" si="22"/>
        <v>792.94551971326155</v>
      </c>
      <c r="E58" s="7"/>
      <c r="F58" s="7">
        <f t="shared" si="22"/>
        <v>2681.9330943847071</v>
      </c>
      <c r="G58" s="7">
        <f t="shared" ref="G58" si="23">AVERAGE(G46:G57)</f>
        <v>1858.2077658303465</v>
      </c>
      <c r="H58" s="7">
        <f t="shared" ref="H58" si="24">AVERAGE(H46:H57)</f>
        <v>252.4060949555944</v>
      </c>
      <c r="I58" s="7">
        <f t="shared" ref="I58" si="25">AVERAGE(I46:I57)</f>
        <v>1462.7112532443455</v>
      </c>
      <c r="J58" s="7">
        <f t="shared" ref="J58" si="26">AVERAGE(J46:J57)</f>
        <v>9635.7777777777774</v>
      </c>
      <c r="K58" s="7">
        <f t="shared" ref="K58" si="27">AVERAGE(K46:K57)</f>
        <v>2659.2554360812428</v>
      </c>
      <c r="L58" s="7">
        <f t="shared" ref="L58" si="28">AVERAGE(L46:L57)</f>
        <v>259.50394265232973</v>
      </c>
      <c r="M58" s="7">
        <f t="shared" ref="M58" si="29">AVERAGE(M46:M57)</f>
        <v>276.78458781362008</v>
      </c>
      <c r="N58" s="7">
        <f t="shared" ref="N58" si="30">AVERAGE(N46:N57)</f>
        <v>5908.2633213859017</v>
      </c>
      <c r="O58" s="7">
        <f t="shared" ref="O58" si="31">AVERAGE(O46:O57)</f>
        <v>435.54870491021774</v>
      </c>
      <c r="P58" s="23">
        <f t="shared" ref="P58" si="32">AVERAGE(P46:P57)</f>
        <v>42.352618135376758</v>
      </c>
    </row>
  </sheetData>
  <mergeCells count="7">
    <mergeCell ref="A41:O41"/>
    <mergeCell ref="A44:O44"/>
    <mergeCell ref="A22:O22"/>
    <mergeCell ref="A25:O25"/>
    <mergeCell ref="A1:O1"/>
    <mergeCell ref="D3:E3"/>
    <mergeCell ref="A4:O4"/>
  </mergeCells>
  <pageMargins left="0.46" right="0.17" top="0.31" bottom="0.2" header="0.47" footer="0.3"/>
  <pageSetup paperSize="9"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91979</cp:lastModifiedBy>
  <cp:lastPrinted>2026-01-20T06:06:52Z</cp:lastPrinted>
  <dcterms:created xsi:type="dcterms:W3CDTF">2021-06-25T07:18:33Z</dcterms:created>
  <dcterms:modified xsi:type="dcterms:W3CDTF">2026-02-05T10:08:09Z</dcterms:modified>
</cp:coreProperties>
</file>